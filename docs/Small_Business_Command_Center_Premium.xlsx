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Tasks &amp; KPI" sheetId="7" state="visible" r:id="rId7"/>
    <sheet xmlns:r="http://schemas.openxmlformats.org/officeDocument/2006/relationships" name="Services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Buyer Gu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72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Expenses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ser>
          <idx val="1"/>
          <order val="1"/>
          <tx>
            <strRef>
              <f>'Monthly 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Sales" displayName="TSales" ref="A1:G3" headerRowCount="1">
  <autoFilter ref="A1:G3"/>
  <tableColumns count="7">
    <tableColumn id="1" name="Date"/>
    <tableColumn id="2" name="Sale ID"/>
    <tableColumn id="3" name="Customer"/>
    <tableColumn id="4" name="Description"/>
    <tableColumn id="5" name="Amount (INR)"/>
    <tableColumn id="6" name="Payment Status"/>
    <tableColumn id="7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Expenses" displayName="TExpenses" ref="A1:F3" headerRowCount="1">
  <autoFilter ref="A1:F3"/>
  <tableColumns count="6">
    <tableColumn id="1" name="Date"/>
    <tableColumn id="2" name="Category"/>
    <tableColumn id="3" name="Description"/>
    <tableColumn id="4" name="Amount (INR)"/>
    <tableColumn id="5" name="Payment method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Customers" displayName="TCustomers" ref="A1:F2" headerRowCount="1">
  <autoFilter ref="A1:F2"/>
  <tableColumns count="6">
    <tableColumn id="1" name="Customer Name"/>
    <tableColumn id="2" name="Company"/>
    <tableColumn id="3" name="Phone"/>
    <tableColumn id="4" name="Email"/>
    <tableColumn id="5" name="Address"/>
    <tableColumn id="6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Products" displayName="TProducts" ref="A1:H3" headerRowCount="1">
  <autoFilter ref="A1:H3"/>
  <tableColumns count="8">
    <tableColumn id="1" name="Product Name"/>
    <tableColumn id="2" name="SKU"/>
    <tableColumn id="3" name="Category"/>
    <tableColumn id="4" name="Current Stock"/>
    <tableColumn id="5" name="Reorder Level"/>
    <tableColumn id="6" name="Unit Cost (INR)"/>
    <tableColumn id="7" name="Selling Price (INR)"/>
    <tableColumn id="8" name="Stock Cost 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Invoices" displayName="TInvoices" ref="A1:J2" headerRowCount="1">
  <autoFilter ref="A1:J2"/>
  <tableColumns count="10">
    <tableColumn id="1" name="Invoice No."/>
    <tableColumn id="2" name="Date"/>
    <tableColumn id="3" name="Customer"/>
    <tableColumn id="4" name="Description"/>
    <tableColumn id="5" name="Subtotal (INR)"/>
    <tableColumn id="6" name="Tax Rate %"/>
    <tableColumn id="7" name="Tax (INR)"/>
    <tableColumn id="8" name="Total (INR)"/>
    <tableColumn id="9" name="Due Date"/>
    <tableColumn id="10" name="Payment 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TasksKPI" displayName="TTasksKPI" ref="A1:H2" headerRowCount="1">
  <autoFilter ref="A1:H2"/>
  <tableColumns count="8">
    <tableColumn id="1" name="Task / Goal"/>
    <tableColumn id="2" name="Owner"/>
    <tableColumn id="3" name="Priority"/>
    <tableColumn id="4" name="Due Date"/>
    <tableColumn id="5" name="Status"/>
    <tableColumn id="6" name="Target / KPI"/>
    <tableColumn id="7" name="Actual"/>
    <tableColumn id="8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Services" displayName="TServices" ref="A1:H2" headerRowCount="1">
  <autoFilter ref="A1:H2"/>
  <tableColumns count="8">
    <tableColumn id="1" name="Service Name"/>
    <tableColumn id="2" name="Type"/>
    <tableColumn id="3" name="Customer Charge (INR)"/>
    <tableColumn id="4" name="Direct Cost (INR)"/>
    <tableColumn id="5" name="Other Costs (INR)"/>
    <tableColumn id="6" name="Estimated Profit (INR)"/>
    <tableColumn id="7" name="Processing Time"/>
    <tableColumn id="8" name="Required Documents Checklis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MonthlySummary" displayName="TMonthlySummary" ref="A1:D13" headerRowCount="1">
  <autoFilter ref="A1:D13"/>
  <tableColumns count="4">
    <tableColumn id="1" name="Month"/>
    <tableColumn id="2" name="Sales (INR)"/>
    <tableColumn id="3" name="Expenses (INR)"/>
    <tableColumn id="4" name="Estimated Net (INR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28" customHeight="1">
      <c r="A1" s="1" t="inlineStr">
        <is>
          <t>SMALL BUSINESS COMMAND CENTER PREMIUM</t>
        </is>
      </c>
    </row>
    <row r="2">
      <c r="A2" s="2" t="inlineStr">
        <is>
          <t>Excel-based business management toolkit</t>
        </is>
      </c>
      <c r="B2" s="2" t="n"/>
    </row>
    <row r="3">
      <c r="A3" s="2" t="inlineStr">
        <is>
          <t>Use the other sheets to record activity; summaries update from the sample formulas. Replace demo rows with your own data.</t>
        </is>
      </c>
      <c r="B3" s="2" t="n"/>
    </row>
    <row r="4">
      <c r="A4" s="2" t="inlineStr">
        <is>
          <t>Metric</t>
        </is>
      </c>
      <c r="B4" s="2" t="inlineStr">
        <is>
          <t>Value</t>
        </is>
      </c>
    </row>
    <row r="5">
      <c r="A5" s="2" t="inlineStr">
        <is>
          <t>Sales total</t>
        </is>
      </c>
      <c r="B5" s="2">
        <f>SUM(Sales!E2:E501)</f>
        <v/>
      </c>
    </row>
    <row r="6">
      <c r="A6" s="2" t="inlineStr">
        <is>
          <t>Expenses total</t>
        </is>
      </c>
      <c r="B6" s="2">
        <f>SUM(Expenses!D2:D501)</f>
        <v/>
      </c>
    </row>
    <row r="7">
      <c r="A7" s="2" t="inlineStr">
        <is>
          <t>Estimated net</t>
        </is>
      </c>
      <c r="B7" s="2">
        <f>B5-B6</f>
        <v/>
      </c>
    </row>
    <row r="8">
      <c r="A8" s="2" t="inlineStr">
        <is>
          <t>Customers</t>
        </is>
      </c>
      <c r="B8" s="2">
        <f>COUNTA(Customers!A2:A501)</f>
        <v/>
      </c>
    </row>
    <row r="9">
      <c r="A9" s="2" t="inlineStr">
        <is>
          <t>Products</t>
        </is>
      </c>
      <c r="B9" s="2">
        <f>COUNTA(Products!A2:A501)</f>
        <v/>
      </c>
    </row>
    <row r="10">
      <c r="A10" s="2" t="inlineStr">
        <is>
          <t>Low-stock products</t>
        </is>
      </c>
      <c r="B10" s="2">
        <f>SUMPRODUCT(--(Products!D2:D501&lt;=Products!E2:E501))</f>
        <v/>
      </c>
    </row>
    <row r="11">
      <c r="A11" s="2" t="n"/>
      <c r="B11" s="2" t="n"/>
    </row>
    <row r="12">
      <c r="A12" s="2" t="inlineStr">
        <is>
          <t>Included modules</t>
        </is>
      </c>
      <c r="B12" s="2" t="inlineStr">
        <is>
          <t>Purpose</t>
        </is>
      </c>
    </row>
    <row r="13">
      <c r="A13" s="2" t="inlineStr">
        <is>
          <t>Sales</t>
        </is>
      </c>
      <c r="B13" s="2" t="inlineStr">
        <is>
          <t>Record each sale and customer</t>
        </is>
      </c>
    </row>
    <row r="14">
      <c r="A14" s="2" t="inlineStr">
        <is>
          <t>Expenses</t>
        </is>
      </c>
      <c r="B14" s="2" t="inlineStr">
        <is>
          <t>Track business costs by category</t>
        </is>
      </c>
    </row>
    <row r="15">
      <c r="A15" s="2" t="inlineStr">
        <is>
          <t>Customers</t>
        </is>
      </c>
      <c r="B15" s="2" t="inlineStr">
        <is>
          <t>Customer contact list</t>
        </is>
      </c>
    </row>
    <row r="16">
      <c r="A16" s="2" t="inlineStr">
        <is>
          <t>Products</t>
        </is>
      </c>
      <c r="B16" s="2" t="inlineStr">
        <is>
          <t>Inventory and reorder threshold</t>
        </is>
      </c>
    </row>
    <row r="17">
      <c r="A17" s="2" t="inlineStr">
        <is>
          <t>Invoices</t>
        </is>
      </c>
      <c r="B17" s="2" t="inlineStr">
        <is>
          <t>Invoice amount, due date and payment status</t>
        </is>
      </c>
    </row>
    <row r="18">
      <c r="A18" s="2" t="inlineStr">
        <is>
          <t>Tasks &amp; KPI</t>
        </is>
      </c>
      <c r="B18" s="2" t="inlineStr">
        <is>
          <t>Tasks, goals, priorities and due dates</t>
        </is>
      </c>
    </row>
    <row r="19">
      <c r="A19" s="2" t="inlineStr">
        <is>
          <t>Services</t>
        </is>
      </c>
      <c r="B19" s="2" t="inlineStr">
        <is>
          <t>Reusable service pricing, costs and document checklist</t>
        </is>
      </c>
    </row>
    <row r="20">
      <c r="A20" s="2" t="inlineStr">
        <is>
          <t>Monthly Summary</t>
        </is>
      </c>
      <c r="B20" s="2" t="inlineStr">
        <is>
          <t>Monthly sales, costs, net and trend chart</t>
        </is>
      </c>
    </row>
    <row r="21">
      <c r="A21" s="2" t="inlineStr">
        <is>
          <t>Buyer Guide</t>
        </is>
      </c>
      <c r="B21" s="2" t="inlineStr">
        <is>
          <t>Setup steps, assumptions and limitations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5" customWidth="1" min="5" max="5"/>
    <col width="17" customWidth="1" min="6" max="6"/>
    <col width="23" customWidth="1" min="7" max="7"/>
  </cols>
  <sheetData>
    <row r="1" ht="28" customHeight="1">
      <c r="A1" s="3" t="inlineStr">
        <is>
          <t>Date</t>
        </is>
      </c>
      <c r="B1" s="3" t="inlineStr">
        <is>
          <t>Sale ID</t>
        </is>
      </c>
      <c r="C1" s="3" t="inlineStr">
        <is>
          <t>Customer</t>
        </is>
      </c>
      <c r="D1" s="3" t="inlineStr">
        <is>
          <t>Description</t>
        </is>
      </c>
      <c r="E1" s="3" t="inlineStr">
        <is>
          <t>Amount (INR)</t>
        </is>
      </c>
      <c r="F1" s="3" t="inlineStr">
        <is>
          <t>Payment Status</t>
        </is>
      </c>
      <c r="G1" s="3" t="inlineStr">
        <is>
          <t>Notes</t>
        </is>
      </c>
    </row>
    <row r="2">
      <c r="A2" s="4" t="n">
        <v>46304</v>
      </c>
      <c r="B2" s="2" t="inlineStr">
        <is>
          <t>S-1001</t>
        </is>
      </c>
      <c r="C2" s="2" t="inlineStr">
        <is>
          <t>Demo customer</t>
        </is>
      </c>
      <c r="D2" s="2" t="inlineStr">
        <is>
          <t>Website setup</t>
        </is>
      </c>
      <c r="E2" s="2" t="n">
        <v>12500</v>
      </c>
      <c r="F2" s="2" t="inlineStr">
        <is>
          <t>Paid</t>
        </is>
      </c>
      <c r="G2" s="2" t="inlineStr">
        <is>
          <t>Sample row — replace</t>
        </is>
      </c>
    </row>
    <row r="3">
      <c r="A3" s="4" t="n">
        <v>46304</v>
      </c>
      <c r="B3" s="2" t="inlineStr">
        <is>
          <t>S-1002</t>
        </is>
      </c>
      <c r="C3" s="2" t="inlineStr">
        <is>
          <t>Demo customer</t>
        </is>
      </c>
      <c r="D3" s="2" t="inlineStr">
        <is>
          <t>Monthly support</t>
        </is>
      </c>
      <c r="E3" s="2" t="n">
        <v>2500</v>
      </c>
      <c r="F3" s="2" t="inlineStr">
        <is>
          <t>Pending</t>
        </is>
      </c>
      <c r="G3" s="2" t="inlineStr">
        <is>
          <t>Sample row — replace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7" customWidth="1" min="5" max="5"/>
    <col width="23" customWidth="1" min="6" max="6"/>
  </cols>
  <sheetData>
    <row r="1" ht="28" customHeight="1">
      <c r="A1" s="3" t="inlineStr">
        <is>
          <t>Date</t>
        </is>
      </c>
      <c r="B1" s="3" t="inlineStr">
        <is>
          <t>Category</t>
        </is>
      </c>
      <c r="C1" s="3" t="inlineStr">
        <is>
          <t>Description</t>
        </is>
      </c>
      <c r="D1" s="3" t="inlineStr">
        <is>
          <t>Amount (INR)</t>
        </is>
      </c>
      <c r="E1" s="3" t="inlineStr">
        <is>
          <t>Payment method</t>
        </is>
      </c>
      <c r="F1" s="3" t="inlineStr">
        <is>
          <t>Notes</t>
        </is>
      </c>
    </row>
    <row r="2">
      <c r="A2" s="4" t="n">
        <v>46304</v>
      </c>
      <c r="B2" s="2" t="inlineStr">
        <is>
          <t>Software</t>
        </is>
      </c>
      <c r="C2" s="2" t="inlineStr">
        <is>
          <t>Design software</t>
        </is>
      </c>
      <c r="D2" s="2" t="n">
        <v>1200</v>
      </c>
      <c r="E2" s="2" t="inlineStr">
        <is>
          <t>Card</t>
        </is>
      </c>
      <c r="F2" s="2" t="inlineStr">
        <is>
          <t>Sample row — replace</t>
        </is>
      </c>
    </row>
    <row r="3">
      <c r="A3" s="4" t="n">
        <v>46304</v>
      </c>
      <c r="B3" s="2" t="inlineStr">
        <is>
          <t>Internet</t>
        </is>
      </c>
      <c r="C3" s="2" t="inlineStr">
        <is>
          <t>Business internet</t>
        </is>
      </c>
      <c r="D3" s="2" t="n">
        <v>800</v>
      </c>
      <c r="E3" s="2" t="inlineStr">
        <is>
          <t>UPI</t>
        </is>
      </c>
      <c r="F3" s="2" t="inlineStr">
        <is>
          <t>Sample row — replace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9" customWidth="1" min="4" max="4"/>
    <col width="14" customWidth="1" min="5" max="5"/>
    <col width="19" customWidth="1" min="6" max="6"/>
  </cols>
  <sheetData>
    <row r="1" ht="28" customHeight="1">
      <c r="A1" s="3" t="inlineStr">
        <is>
          <t>Customer Name</t>
        </is>
      </c>
      <c r="B1" s="3" t="inlineStr">
        <is>
          <t>Company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Address</t>
        </is>
      </c>
      <c r="F1" s="3" t="inlineStr">
        <is>
          <t>Notes</t>
        </is>
      </c>
    </row>
    <row r="2">
      <c r="A2" s="2" t="inlineStr">
        <is>
          <t>Demo customer</t>
        </is>
      </c>
      <c r="B2" s="2" t="inlineStr">
        <is>
          <t>Example Studio</t>
        </is>
      </c>
      <c r="C2" s="2" t="inlineStr">
        <is>
          <t>+91 90000 00000</t>
        </is>
      </c>
      <c r="D2" s="2" t="inlineStr">
        <is>
          <t>demo@example.com</t>
        </is>
      </c>
      <c r="E2" s="2" t="inlineStr"/>
      <c r="F2" s="2" t="inlineStr">
        <is>
          <t>Sample data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22" customWidth="1" min="7" max="7"/>
    <col width="19" customWidth="1" min="8" max="8"/>
  </cols>
  <sheetData>
    <row r="1" ht="28" customHeight="1">
      <c r="A1" s="3" t="inlineStr">
        <is>
          <t>Product Name</t>
        </is>
      </c>
      <c r="B1" s="3" t="inlineStr">
        <is>
          <t>SKU</t>
        </is>
      </c>
      <c r="C1" s="3" t="inlineStr">
        <is>
          <t>Category</t>
        </is>
      </c>
      <c r="D1" s="3" t="inlineStr">
        <is>
          <t>Current Stock</t>
        </is>
      </c>
      <c r="E1" s="3" t="inlineStr">
        <is>
          <t>Reorder Level</t>
        </is>
      </c>
      <c r="F1" s="3" t="inlineStr">
        <is>
          <t>Unit Cost (INR)</t>
        </is>
      </c>
      <c r="G1" s="3" t="inlineStr">
        <is>
          <t>Selling Price (INR)</t>
        </is>
      </c>
      <c r="H1" s="3" t="inlineStr">
        <is>
          <t>Stock Cost Value</t>
        </is>
      </c>
    </row>
    <row r="2">
      <c r="A2" s="2" t="inlineStr">
        <is>
          <t>Sample notebook</t>
        </is>
      </c>
      <c r="B2" s="2" t="inlineStr">
        <is>
          <t>NB-001</t>
        </is>
      </c>
      <c r="C2" s="2" t="inlineStr">
        <is>
          <t>Stationery</t>
        </is>
      </c>
      <c r="D2" s="2" t="n">
        <v>8</v>
      </c>
      <c r="E2" s="2" t="n">
        <v>10</v>
      </c>
      <c r="F2" s="2" t="n">
        <v>45</v>
      </c>
      <c r="G2" s="2" t="n">
        <v>80</v>
      </c>
      <c r="H2" s="2">
        <f>D2*F2</f>
        <v/>
      </c>
    </row>
    <row r="3">
      <c r="A3" s="2" t="inlineStr">
        <is>
          <t>Sample pen</t>
        </is>
      </c>
      <c r="B3" s="2" t="inlineStr">
        <is>
          <t>PN-001</t>
        </is>
      </c>
      <c r="C3" s="2" t="inlineStr">
        <is>
          <t>Stationery</t>
        </is>
      </c>
      <c r="D3" s="2" t="n">
        <v>45</v>
      </c>
      <c r="E3" s="2" t="n">
        <v>15</v>
      </c>
      <c r="F3" s="2" t="n">
        <v>8</v>
      </c>
      <c r="G3" s="2" t="n">
        <v>15</v>
      </c>
      <c r="H3" s="2">
        <f>D3*F3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</cols>
  <sheetData>
    <row r="1" ht="28" customHeight="1">
      <c r="A1" s="3" t="inlineStr">
        <is>
          <t>Invoice No.</t>
        </is>
      </c>
      <c r="B1" s="3" t="inlineStr">
        <is>
          <t>Date</t>
        </is>
      </c>
      <c r="C1" s="3" t="inlineStr">
        <is>
          <t>Customer</t>
        </is>
      </c>
      <c r="D1" s="3" t="inlineStr">
        <is>
          <t>Description</t>
        </is>
      </c>
      <c r="E1" s="3" t="inlineStr">
        <is>
          <t>Subtotal (INR)</t>
        </is>
      </c>
      <c r="F1" s="3" t="inlineStr">
        <is>
          <t>Tax Rate %</t>
        </is>
      </c>
      <c r="G1" s="3" t="inlineStr">
        <is>
          <t>Tax (INR)</t>
        </is>
      </c>
      <c r="H1" s="3" t="inlineStr">
        <is>
          <t>Total (INR)</t>
        </is>
      </c>
      <c r="I1" s="3" t="inlineStr">
        <is>
          <t>Due Date</t>
        </is>
      </c>
      <c r="J1" s="3" t="inlineStr">
        <is>
          <t>Payment Status</t>
        </is>
      </c>
    </row>
    <row r="2">
      <c r="A2" s="2" t="inlineStr">
        <is>
          <t>INV-1001</t>
        </is>
      </c>
      <c r="B2" s="4" t="n">
        <v>46304</v>
      </c>
      <c r="C2" s="2" t="inlineStr">
        <is>
          <t>Demo customer</t>
        </is>
      </c>
      <c r="D2" s="2" t="inlineStr">
        <is>
          <t>Website setup</t>
        </is>
      </c>
      <c r="E2" s="2" t="n">
        <v>12500</v>
      </c>
      <c r="F2" s="2" t="n">
        <v>0</v>
      </c>
      <c r="G2" s="2">
        <f>E2*F2/100</f>
        <v/>
      </c>
      <c r="H2" s="2">
        <f>E2+G2</f>
        <v/>
      </c>
      <c r="I2" s="4" t="n">
        <v>46311</v>
      </c>
      <c r="J2" s="2" t="inlineStr">
        <is>
          <t>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 ht="28" customHeight="1">
      <c r="A1" s="3" t="inlineStr">
        <is>
          <t>Task / Goal</t>
        </is>
      </c>
      <c r="B1" s="3" t="inlineStr">
        <is>
          <t>Owner</t>
        </is>
      </c>
      <c r="C1" s="3" t="inlineStr">
        <is>
          <t>Priority</t>
        </is>
      </c>
      <c r="D1" s="3" t="inlineStr">
        <is>
          <t>Due Date</t>
        </is>
      </c>
      <c r="E1" s="3" t="inlineStr">
        <is>
          <t>Status</t>
        </is>
      </c>
      <c r="F1" s="3" t="inlineStr">
        <is>
          <t>Target / KPI</t>
        </is>
      </c>
      <c r="G1" s="3" t="inlineStr">
        <is>
          <t>Actual</t>
        </is>
      </c>
      <c r="H1" s="3" t="inlineStr">
        <is>
          <t>Notes</t>
        </is>
      </c>
    </row>
    <row r="2">
      <c r="A2" s="2" t="inlineStr">
        <is>
          <t>Send monthly report</t>
        </is>
      </c>
      <c r="B2" s="2" t="inlineStr">
        <is>
          <t>Owner</t>
        </is>
      </c>
      <c r="C2" s="2" t="inlineStr">
        <is>
          <t>High</t>
        </is>
      </c>
      <c r="D2" s="4" t="n">
        <v>46307</v>
      </c>
      <c r="E2" s="2" t="inlineStr">
        <is>
          <t>In progress</t>
        </is>
      </c>
      <c r="F2" s="2" t="inlineStr">
        <is>
          <t>1 report</t>
        </is>
      </c>
      <c r="G2" s="2" t="inlineStr">
        <is>
          <t>0</t>
        </is>
      </c>
      <c r="H2" s="2" t="inlineStr">
        <is>
          <t>Sample task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20" customWidth="1" min="4" max="4"/>
    <col width="20" customWidth="1" min="5" max="5"/>
    <col width="25" customWidth="1" min="6" max="6"/>
    <col width="18" customWidth="1" min="7" max="7"/>
    <col width="38" customWidth="1" min="8" max="8"/>
  </cols>
  <sheetData>
    <row r="1" ht="28" customHeight="1">
      <c r="A1" s="3" t="inlineStr">
        <is>
          <t>Service Name</t>
        </is>
      </c>
      <c r="B1" s="3" t="inlineStr">
        <is>
          <t>Type</t>
        </is>
      </c>
      <c r="C1" s="3" t="inlineStr">
        <is>
          <t>Customer Charge (INR)</t>
        </is>
      </c>
      <c r="D1" s="3" t="inlineStr">
        <is>
          <t>Direct Cost (INR)</t>
        </is>
      </c>
      <c r="E1" s="3" t="inlineStr">
        <is>
          <t>Other Costs (INR)</t>
        </is>
      </c>
      <c r="F1" s="3" t="inlineStr">
        <is>
          <t>Estimated Profit (INR)</t>
        </is>
      </c>
      <c r="G1" s="3" t="inlineStr">
        <is>
          <t>Processing Time</t>
        </is>
      </c>
      <c r="H1" s="3" t="inlineStr">
        <is>
          <t>Required Documents Checklist</t>
        </is>
      </c>
    </row>
    <row r="2">
      <c r="A2" s="2" t="inlineStr">
        <is>
          <t>Online form assistance</t>
        </is>
      </c>
      <c r="B2" s="2" t="inlineStr">
        <is>
          <t>Online service</t>
        </is>
      </c>
      <c r="C2" s="2" t="n">
        <v>500</v>
      </c>
      <c r="D2" s="2" t="n">
        <v>150</v>
      </c>
      <c r="E2" s="2" t="n">
        <v>30</v>
      </c>
      <c r="F2" s="2">
        <f>C2-D2-E2</f>
        <v/>
      </c>
      <c r="G2" s="2" t="inlineStr">
        <is>
          <t>1 day</t>
        </is>
      </c>
      <c r="H2" s="2" t="inlineStr">
        <is>
          <t>Define and verify requirements yourself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22" customWidth="1" min="4" max="4"/>
  </cols>
  <sheetData>
    <row r="1" ht="28" customHeight="1">
      <c r="A1" s="3" t="inlineStr">
        <is>
          <t>Month</t>
        </is>
      </c>
      <c r="B1" s="3" t="inlineStr">
        <is>
          <t>Sales (INR)</t>
        </is>
      </c>
      <c r="C1" s="3" t="inlineStr">
        <is>
          <t>Expenses (INR)</t>
        </is>
      </c>
      <c r="D1" s="3" t="inlineStr">
        <is>
          <t>Estimated Net (INR)</t>
        </is>
      </c>
    </row>
    <row r="2">
      <c r="A2" s="2" t="inlineStr">
        <is>
          <t>Jan 2026</t>
        </is>
      </c>
      <c r="B2" s="2">
        <f>SUMIFS(Sales!$E$2:$E$501,Sales!$A$2:$A$501,"&gt;="&amp;DATE(2026,1,1),Sales!$A$2:$A$501,"&lt;="&amp;EOMONTH(DATE(2026,1,1),0))</f>
        <v/>
      </c>
      <c r="C2" s="2">
        <f>SUMIFS(Expenses!$D$2:$D$501,Expenses!$A$2:$A$501,"&gt;="&amp;DATE(2026,1,1),Expenses!$A$2:$A$501,"&lt;="&amp;EOMONTH(DATE(2026,1,1),0))</f>
        <v/>
      </c>
      <c r="D2" s="2">
        <f>B2-C2</f>
        <v/>
      </c>
    </row>
    <row r="3">
      <c r="A3" s="2" t="inlineStr">
        <is>
          <t>Feb 2026</t>
        </is>
      </c>
      <c r="B3" s="2">
        <f>SUMIFS(Sales!$E$2:$E$501,Sales!$A$2:$A$501,"&gt;="&amp;DATE(2026,2,1),Sales!$A$2:$A$501,"&lt;="&amp;EOMONTH(DATE(2026,2,1),0))</f>
        <v/>
      </c>
      <c r="C3" s="2">
        <f>SUMIFS(Expenses!$D$2:$D$501,Expenses!$A$2:$A$501,"&gt;="&amp;DATE(2026,2,1),Expenses!$A$2:$A$501,"&lt;="&amp;EOMONTH(DATE(2026,2,1),0))</f>
        <v/>
      </c>
      <c r="D3" s="2">
        <f>B3-C3</f>
        <v/>
      </c>
    </row>
    <row r="4">
      <c r="A4" s="2" t="inlineStr">
        <is>
          <t>Mar 2026</t>
        </is>
      </c>
      <c r="B4" s="2">
        <f>SUMIFS(Sales!$E$2:$E$501,Sales!$A$2:$A$501,"&gt;="&amp;DATE(2026,3,1),Sales!$A$2:$A$501,"&lt;="&amp;EOMONTH(DATE(2026,3,1),0))</f>
        <v/>
      </c>
      <c r="C4" s="2">
        <f>SUMIFS(Expenses!$D$2:$D$501,Expenses!$A$2:$A$501,"&gt;="&amp;DATE(2026,3,1),Expenses!$A$2:$A$501,"&lt;="&amp;EOMONTH(DATE(2026,3,1),0))</f>
        <v/>
      </c>
      <c r="D4" s="2">
        <f>B4-C4</f>
        <v/>
      </c>
    </row>
    <row r="5">
      <c r="A5" s="2" t="inlineStr">
        <is>
          <t>Apr 2026</t>
        </is>
      </c>
      <c r="B5" s="2">
        <f>SUMIFS(Sales!$E$2:$E$501,Sales!$A$2:$A$501,"&gt;="&amp;DATE(2026,4,1),Sales!$A$2:$A$501,"&lt;="&amp;EOMONTH(DATE(2026,4,1),0))</f>
        <v/>
      </c>
      <c r="C5" s="2">
        <f>SUMIFS(Expenses!$D$2:$D$501,Expenses!$A$2:$A$501,"&gt;="&amp;DATE(2026,4,1),Expenses!$A$2:$A$501,"&lt;="&amp;EOMONTH(DATE(2026,4,1),0))</f>
        <v/>
      </c>
      <c r="D5" s="2">
        <f>B5-C5</f>
        <v/>
      </c>
    </row>
    <row r="6">
      <c r="A6" s="2" t="inlineStr">
        <is>
          <t>May 2026</t>
        </is>
      </c>
      <c r="B6" s="2">
        <f>SUMIFS(Sales!$E$2:$E$501,Sales!$A$2:$A$501,"&gt;="&amp;DATE(2026,5,1),Sales!$A$2:$A$501,"&lt;="&amp;EOMONTH(DATE(2026,5,1),0))</f>
        <v/>
      </c>
      <c r="C6" s="2">
        <f>SUMIFS(Expenses!$D$2:$D$501,Expenses!$A$2:$A$501,"&gt;="&amp;DATE(2026,5,1),Expenses!$A$2:$A$501,"&lt;="&amp;EOMONTH(DATE(2026,5,1),0))</f>
        <v/>
      </c>
      <c r="D6" s="2">
        <f>B6-C6</f>
        <v/>
      </c>
    </row>
    <row r="7">
      <c r="A7" s="2" t="inlineStr">
        <is>
          <t>Jun 2026</t>
        </is>
      </c>
      <c r="B7" s="2">
        <f>SUMIFS(Sales!$E$2:$E$501,Sales!$A$2:$A$501,"&gt;="&amp;DATE(2026,6,1),Sales!$A$2:$A$501,"&lt;="&amp;EOMONTH(DATE(2026,6,1),0))</f>
        <v/>
      </c>
      <c r="C7" s="2">
        <f>SUMIFS(Expenses!$D$2:$D$501,Expenses!$A$2:$A$501,"&gt;="&amp;DATE(2026,6,1),Expenses!$A$2:$A$501,"&lt;="&amp;EOMONTH(DATE(2026,6,1),0))</f>
        <v/>
      </c>
      <c r="D7" s="2">
        <f>B7-C7</f>
        <v/>
      </c>
    </row>
    <row r="8">
      <c r="A8" s="2" t="inlineStr">
        <is>
          <t>Jul 2026</t>
        </is>
      </c>
      <c r="B8" s="2">
        <f>SUMIFS(Sales!$E$2:$E$501,Sales!$A$2:$A$501,"&gt;="&amp;DATE(2026,7,1),Sales!$A$2:$A$501,"&lt;="&amp;EOMONTH(DATE(2026,7,1),0))</f>
        <v/>
      </c>
      <c r="C8" s="2">
        <f>SUMIFS(Expenses!$D$2:$D$501,Expenses!$A$2:$A$501,"&gt;="&amp;DATE(2026,7,1),Expenses!$A$2:$A$501,"&lt;="&amp;EOMONTH(DATE(2026,7,1),0))</f>
        <v/>
      </c>
      <c r="D8" s="2">
        <f>B8-C8</f>
        <v/>
      </c>
    </row>
    <row r="9">
      <c r="A9" s="2" t="inlineStr">
        <is>
          <t>Aug 2026</t>
        </is>
      </c>
      <c r="B9" s="2">
        <f>SUMIFS(Sales!$E$2:$E$501,Sales!$A$2:$A$501,"&gt;="&amp;DATE(2026,8,1),Sales!$A$2:$A$501,"&lt;="&amp;EOMONTH(DATE(2026,8,1),0))</f>
        <v/>
      </c>
      <c r="C9" s="2">
        <f>SUMIFS(Expenses!$D$2:$D$501,Expenses!$A$2:$A$501,"&gt;="&amp;DATE(2026,8,1),Expenses!$A$2:$A$501,"&lt;="&amp;EOMONTH(DATE(2026,8,1),0))</f>
        <v/>
      </c>
      <c r="D9" s="2">
        <f>B9-C9</f>
        <v/>
      </c>
    </row>
    <row r="10">
      <c r="A10" s="2" t="inlineStr">
        <is>
          <t>Sep 2026</t>
        </is>
      </c>
      <c r="B10" s="2">
        <f>SUMIFS(Sales!$E$2:$E$501,Sales!$A$2:$A$501,"&gt;="&amp;DATE(2026,9,1),Sales!$A$2:$A$501,"&lt;="&amp;EOMONTH(DATE(2026,9,1),0))</f>
        <v/>
      </c>
      <c r="C10" s="2">
        <f>SUMIFS(Expenses!$D$2:$D$501,Expenses!$A$2:$A$501,"&gt;="&amp;DATE(2026,9,1),Expenses!$A$2:$A$501,"&lt;="&amp;EOMONTH(DATE(2026,9,1),0))</f>
        <v/>
      </c>
      <c r="D10" s="2">
        <f>B10-C10</f>
        <v/>
      </c>
    </row>
    <row r="11">
      <c r="A11" s="2" t="inlineStr">
        <is>
          <t>Oct 2026</t>
        </is>
      </c>
      <c r="B11" s="2">
        <f>SUMIFS(Sales!$E$2:$E$501,Sales!$A$2:$A$501,"&gt;="&amp;DATE(2026,10,1),Sales!$A$2:$A$501,"&lt;="&amp;EOMONTH(DATE(2026,10,1),0))</f>
        <v/>
      </c>
      <c r="C11" s="2">
        <f>SUMIFS(Expenses!$D$2:$D$501,Expenses!$A$2:$A$501,"&gt;="&amp;DATE(2026,10,1),Expenses!$A$2:$A$501,"&lt;="&amp;EOMONTH(DATE(2026,10,1),0))</f>
        <v/>
      </c>
      <c r="D11" s="2">
        <f>B11-C11</f>
        <v/>
      </c>
    </row>
    <row r="12">
      <c r="A12" s="2" t="inlineStr">
        <is>
          <t>Nov 2026</t>
        </is>
      </c>
      <c r="B12" s="2">
        <f>SUMIFS(Sales!$E$2:$E$501,Sales!$A$2:$A$501,"&gt;="&amp;DATE(2026,11,1),Sales!$A$2:$A$501,"&lt;="&amp;EOMONTH(DATE(2026,11,1),0))</f>
        <v/>
      </c>
      <c r="C12" s="2">
        <f>SUMIFS(Expenses!$D$2:$D$501,Expenses!$A$2:$A$501,"&gt;="&amp;DATE(2026,11,1),Expenses!$A$2:$A$501,"&lt;="&amp;EOMONTH(DATE(2026,11,1),0))</f>
        <v/>
      </c>
      <c r="D12" s="2">
        <f>B12-C12</f>
        <v/>
      </c>
    </row>
    <row r="13">
      <c r="A13" s="2" t="inlineStr">
        <is>
          <t>Dec 2026</t>
        </is>
      </c>
      <c r="B13" s="2">
        <f>SUMIFS(Sales!$E$2:$E$501,Sales!$A$2:$A$501,"&gt;="&amp;DATE(2026,12,1),Sales!$A$2:$A$501,"&lt;="&amp;EOMONTH(DATE(2026,12,1),0))</f>
        <v/>
      </c>
      <c r="C13" s="2">
        <f>SUMIFS(Expenses!$D$2:$D$501,Expenses!$A$2:$A$501,"&gt;="&amp;DATE(2026,12,1),Expenses!$A$2:$A$501,"&lt;="&amp;EOMONTH(DATE(2026,12,1),0))</f>
        <v/>
      </c>
      <c r="D13" s="2">
        <f>B13-C13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 ht="28" customHeight="1">
      <c r="A1" s="3" t="inlineStr">
        <is>
          <t>BUYER GUIDE &amp; SETUP INSTRUCTIONS</t>
        </is>
      </c>
    </row>
    <row r="2">
      <c r="A2" s="2" t="inlineStr">
        <is>
          <t>1. Save a copy of this workbook before editing.</t>
        </is>
      </c>
    </row>
    <row r="3">
      <c r="A3" s="2" t="inlineStr">
        <is>
          <t>2. Replace sample rows with your own records; do not overwrite header rows.</t>
        </is>
      </c>
    </row>
    <row r="4">
      <c r="A4" s="2" t="inlineStr">
        <is>
          <t>3. Enter sales, expenses, customers, products, invoices, tasks and service templates in their respective sheets.</t>
        </is>
      </c>
    </row>
    <row r="5">
      <c r="A5" s="2" t="inlineStr">
        <is>
          <t>4. Products sheet: Current Stock at or below Reorder Level indicates a low-stock item.</t>
        </is>
      </c>
    </row>
    <row r="6">
      <c r="A6" s="2" t="inlineStr">
        <is>
          <t>5. Monthly Summary uses the current calendar year and SUMIFS formulas. Adjust formula years if needed.</t>
        </is>
      </c>
    </row>
    <row r="7">
      <c r="A7" s="2" t="inlineStr">
        <is>
          <t>6. Profit is an operational estimate, not a tax or statutory accounting statement. Confirm GST/tax obligations with a qualified professional.</t>
        </is>
      </c>
    </row>
    <row r="8">
      <c r="A8" s="2" t="inlineStr">
        <is>
          <t>7. Required document lists are user-defined examples, not government-approved or legally complete checklists. Verify current official requirements for each service.</t>
        </is>
      </c>
    </row>
    <row r="9">
      <c r="A9" s="2" t="inlineStr">
        <is>
          <t>8. Protect customer privacy: collect only necessary data and store identity documents only when required, with appropriate safeguards.</t>
        </is>
      </c>
    </row>
    <row r="10">
      <c r="A10" s="2" t="inlineStr">
        <is>
          <t>9. Demo rows are examples only. Delete/replace them before real use.</t>
        </is>
      </c>
    </row>
    <row r="11">
      <c r="A11" s="2" t="inlineStr">
        <is>
          <t>10. Compatibility: Excel 2016+ or compatible spreadsheet software recommended for formulas and charts.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2026-10-09T17:59:27Z</dcterms:created>
  <dcterms:modified xmlns:dcterms="http://purl.org/dc/terms/" xmlns:xsi="http://www.w3.org/2001/XMLSchema-instance" xsi:type="dcterms:W3CDTF">2026-10-09T17:59:56Z</dcterms:modified>
</cp:coreProperties>
</file>